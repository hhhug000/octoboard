
<file path=[Content_Types].xml><?xml version="1.0" encoding="utf-8"?>
<Types xmlns="http://schemas.openxmlformats.org/package/2006/content-types">
  <Default Extension="xml" ContentType="application/xml"/>
  <Default Extension="wmf" ContentType="image/x-wmf"/>
  <Default Extension="bin" ContentType="application/vnd.openxmlformats-officedocument.oleObject"/>
  <Default Extension="rels" ContentType="application/vnd.openxmlformats-package.relationships+xml"/>
  <Default Extension="jpeg" ContentType="image/jpeg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 Id="rId1" Type="http://schemas.openxmlformats.org/officeDocument/2006/relationships/extended-properties" Target="docProps/app.xml"/><Relationship  Id="rId2" Type="http://schemas.openxmlformats.org/package/2006/relationships/metadata/core-properties" Target="docProps/core.xml"/><Relationship 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4="http://schemas.microsoft.com/office/spreadsheetml/2009/9/main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/>
  <bookViews>
    <workbookView xWindow="360" yWindow="15" windowWidth="20955" windowHeight="9720" activeTab="0"/>
  </bookViews>
  <sheets>
    <sheet name="Sheet1" sheetId="1" state="visible" r:id="rId2"/>
  </sheets>
  <calcPr/>
  <extLst>
    <ext xmlns:x15="http://schemas.microsoft.com/office/spreadsheetml/2010/11/main" uri="{D0CA8CA8-9F24-4464-BF8E-62219DCF47F9}"/>
  </extLst>
</workbook>
</file>

<file path=xl/sharedStrings.xml><?xml version="1.0" encoding="utf-8"?>
<sst xmlns="http://schemas.openxmlformats.org/spreadsheetml/2006/main" count="82" uniqueCount="82">
  <si>
    <t xml:space="preserve">Part Name</t>
  </si>
  <si>
    <t>Manufacturer</t>
  </si>
  <si>
    <t xml:space="preserve">Price in GBP</t>
  </si>
  <si>
    <t xml:space="preserve">Converted to USD (x1.33)</t>
  </si>
  <si>
    <t>Quantity</t>
  </si>
  <si>
    <t xml:space="preserve">Total Price in GBP</t>
  </si>
  <si>
    <t xml:space="preserve">Converted to USD</t>
  </si>
  <si>
    <t xml:space="preserve">CPC Farnell Order Code</t>
  </si>
  <si>
    <t>Notes</t>
  </si>
  <si>
    <t xml:space="preserve">1N4007G+ Recovery Diode 1kV 1A, Single, 1V , 30A</t>
  </si>
  <si>
    <t xml:space="preserve">MULTICOMP PRO</t>
  </si>
  <si>
    <t>SC15525</t>
  </si>
  <si>
    <t xml:space="preserve">Min order quantity of 10</t>
  </si>
  <si>
    <t xml:space="preserve">EEUFM1E470 Electrolytic Capacitor, 47uF, 25V, +/- 20%</t>
  </si>
  <si>
    <t>PANASONIC</t>
  </si>
  <si>
    <t>CA09929</t>
  </si>
  <si>
    <t xml:space="preserve">For power stuff</t>
  </si>
  <si>
    <t xml:space="preserve">ATMEGA328P-PU MCU, 8Bit, AVR, 32K Flash 28PDIP</t>
  </si>
  <si>
    <t>ATMEL</t>
  </si>
  <si>
    <t>SC09742</t>
  </si>
  <si>
    <t xml:space="preserve">The main microcontroller chip!</t>
  </si>
  <si>
    <t xml:space="preserve">AS-16.000-18 16MHz Crystal</t>
  </si>
  <si>
    <t>RALTRON</t>
  </si>
  <si>
    <t>SC18229</t>
  </si>
  <si>
    <t xml:space="preserve">Timing crystal</t>
  </si>
  <si>
    <t xml:space="preserve">18688 Header, Female, Stackable, 2.54mm, 6 Way</t>
  </si>
  <si>
    <t xml:space="preserve">PRO SIGNAL</t>
  </si>
  <si>
    <t>CN18764</t>
  </si>
  <si>
    <t xml:space="preserve">GPIO Headers</t>
  </si>
  <si>
    <t xml:space="preserve">M20-9990346 0.1" Pin Header, 3 Way, 10 Pack</t>
  </si>
  <si>
    <t>HARWIN</t>
  </si>
  <si>
    <t>CN09984</t>
  </si>
  <si>
    <t xml:space="preserve">Put 2 together for the 2x3 ICSP Header</t>
  </si>
  <si>
    <t xml:space="preserve">HLMP-1340 LED, 3mm, HE-Red</t>
  </si>
  <si>
    <t>BROADCOM</t>
  </si>
  <si>
    <t>SC11554</t>
  </si>
  <si>
    <t xml:space="preserve">For power LED and programmable LED</t>
  </si>
  <si>
    <t xml:space="preserve">1N4148 (DO-35) Small Signal Diode, 100Vm 150mA, 50 Pack</t>
  </si>
  <si>
    <t>SC07296</t>
  </si>
  <si>
    <t xml:space="preserve">For serial DTR</t>
  </si>
  <si>
    <t xml:space="preserve">C320C104K5 R5TA Multilayer Ceramic Capacitor, 0.1uF 50V, +/- 10% Radial Leaded, 2.54mm</t>
  </si>
  <si>
    <t>KEMET</t>
  </si>
  <si>
    <t>CA09214</t>
  </si>
  <si>
    <t xml:space="preserve">K220J15C0G F53L2 Capacitor, 22pF, 50V, NP0, Radial</t>
  </si>
  <si>
    <t>VISHAY</t>
  </si>
  <si>
    <t>CA06803</t>
  </si>
  <si>
    <t xml:space="preserve">Crystal decoupling</t>
  </si>
  <si>
    <t xml:space="preserve">FC68148 DC Power Socket, PCB Mount, DC 10A</t>
  </si>
  <si>
    <t xml:space="preserve">CLIFF ELECTRONIC COMPONENTS</t>
  </si>
  <si>
    <t>CN01545</t>
  </si>
  <si>
    <t xml:space="preserve">Power in barrel jack</t>
  </si>
  <si>
    <t xml:space="preserve">L7805ABV Voltage Regulator 5v, 7805</t>
  </si>
  <si>
    <t>STMICROELECTRONICS</t>
  </si>
  <si>
    <t>SC10586</t>
  </si>
  <si>
    <t xml:space="preserve">Voltage regulation</t>
  </si>
  <si>
    <t xml:space="preserve">MF25 10K Resistor, 0.25W 1% 10K, 50 Pack</t>
  </si>
  <si>
    <t>RE03723</t>
  </si>
  <si>
    <t xml:space="preserve">Resists reset</t>
  </si>
  <si>
    <t xml:space="preserve">MF25 1K Resistor, 0.25W 1% 1K, 50 Pack</t>
  </si>
  <si>
    <t>RE03722</t>
  </si>
  <si>
    <t xml:space="preserve">Resists for LEDs</t>
  </si>
  <si>
    <t xml:space="preserve">PTS645SL50-2 LFS Tactile Switch SPST, 130gf, 12V DC, 50mA</t>
  </si>
  <si>
    <t xml:space="preserve">C&amp;K COMPONENTS</t>
  </si>
  <si>
    <t>SW06710</t>
  </si>
  <si>
    <t xml:space="preserve">Reset switch</t>
  </si>
  <si>
    <t xml:space="preserve">FIT0146 Stackable Female Header, 2.54mm, 8 Way, 10 Pack</t>
  </si>
  <si>
    <t>DFROBOT</t>
  </si>
  <si>
    <t>PC02802</t>
  </si>
  <si>
    <t xml:space="preserve">Can be cut and sanded for the other size headers</t>
  </si>
  <si>
    <t xml:space="preserve">MC-2227-28-03-F1 IC Socket, DIL, 0.3" / 7.62mm, 28 Way, 17 Pack</t>
  </si>
  <si>
    <t>SC08129</t>
  </si>
  <si>
    <t xml:space="preserve">Holds microcontroller chip, so it is replacable</t>
  </si>
  <si>
    <t xml:space="preserve">PCB, FR4, 2 Layers, Black Solder Mask, White Silkscreen (5 Pack + Shipping)</t>
  </si>
  <si>
    <t>JLCPCB</t>
  </si>
  <si>
    <t>N/A</t>
  </si>
  <si>
    <t xml:space="preserve">The actual PCB</t>
  </si>
  <si>
    <t xml:space="preserve">DollaTek USBASP USBISP AVR USBasp_H6 Programmer + 6 pin Cable</t>
  </si>
  <si>
    <t xml:space="preserve">DollaTek (AMAZON)</t>
  </si>
  <si>
    <t xml:space="preserve">To program the bootloader and direct program code</t>
  </si>
  <si>
    <t xml:space="preserve">VAT (20%)</t>
  </si>
  <si>
    <t xml:space="preserve">Total Price in GBP with VAT</t>
  </si>
  <si>
    <t xml:space="preserve">Total Price in USD with VAT</t>
  </si>
</sst>
</file>

<file path=xl/styles.xml><?xml version="1.0" encoding="utf-8"?>
<styleSheet xmlns="http://schemas.openxmlformats.org/spreadsheetml/2006/main" xmlns:mc="http://schemas.openxmlformats.org/markup-compatibility/2006" xmlns:x14="http://schemas.microsoft.com/office/spreadsheetml/2009/9/main" xmlns:x14ac="http://schemas.microsoft.com/office/spreadsheetml/2009/9/ac" xmlns:x16r2="http://schemas.microsoft.com/office/spreadsheetml/2015/02/main" mc:Ignorable="x14ac x16r2">
  <numFmts count="2">
    <numFmt numFmtId="164" formatCode="[$£-809]#,##0.00"/>
    <numFmt numFmtId="165" formatCode="[$$-9]#,##0.00"/>
  </numFmts>
  <fonts count="1">
    <font>
      <sz val="11.000000"/>
      <color theme="1"/>
      <name val="Calibri"/>
      <scheme val="minor"/>
    </font>
  </fonts>
  <fills count="2">
    <fill>
      <patternFill patternType="none"/>
    </fill>
    <fill>
      <patternFill patternType="gray125"/>
    </fill>
  </fills>
  <borders count="1">
    <border>
      <left style="none"/>
      <right style="none"/>
      <top style="none"/>
      <bottom style="none"/>
      <diagonal style="none"/>
    </border>
  </borders>
  <cellStyleXfs count="1">
    <xf fontId="0" fillId="0" borderId="0" numFmtId="0" applyNumberFormat="1" applyFont="1" applyFill="1" applyBorder="1"/>
  </cellStyleXfs>
  <cellXfs count="8">
    <xf fontId="0" fillId="0" borderId="0" numFmtId="0" xfId="0"/>
    <xf fontId="0" fillId="0" borderId="0" numFmtId="164" xfId="0" applyNumberFormat="1"/>
    <xf fontId="0" fillId="0" borderId="0" numFmtId="165" xfId="0" applyNumberFormat="1"/>
    <xf fontId="0" fillId="0" borderId="0" numFmtId="0" xfId="0"/>
    <xf fontId="0" fillId="0" borderId="0" numFmtId="165" xfId="0" applyNumberFormat="1"/>
    <xf fontId="0" fillId="0" borderId="0" numFmtId="164" xfId="0" applyNumberFormat="1"/>
    <xf fontId="0" fillId="0" borderId="0" numFmtId="0" xfId="0"/>
    <xf fontId="0" fillId="0" borderId="0" numFmtId="9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 Id="rId1" Type="http://schemas.onlyoffice.com/jsaProject" Target="jsaProject.bin"/><Relationship  Id="rId2" Type="http://schemas.openxmlformats.org/officeDocument/2006/relationships/worksheet" Target="worksheets/sheet1.xml"/><Relationship  Id="rId3" Type="http://schemas.openxmlformats.org/officeDocument/2006/relationships/theme" Target="theme/theme1.xml"/><Relationship  Id="rId4" Type="http://schemas.openxmlformats.org/officeDocument/2006/relationships/sharedStrings" Target="sharedStrings.xml"/><Relationship  Id="rId5" Type="http://schemas.openxmlformats.org/officeDocument/2006/relationships/styles" Target="styles.xml"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明朝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theme/theme1.xml><?xml version="1.0" encoding="utf-8"?>
<a:theme xmlns:a="http://schemas.openxmlformats.org/drawingml/2006/main" xmlns:r="http://schemas.openxmlformats.org/officeDocument/2006/relationships" xmlns:p="http://schemas.openxmlformats.org/presentationml/2006/main" name="Office Theme">
  <a:themeElements>
    <a:clrScheme name="New 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Arial"/>
        <a:cs typeface="Arial"/>
      </a:majorFont>
      <a:minorFont>
        <a:latin typeface="Calibri"/>
        <a:ea typeface="Arial"/>
        <a:cs typeface="Arial"/>
      </a:minorFont>
    </a:fontScheme>
    <a:fmtScheme name="Office">
      <a:fillStyleLst>
        <a:solidFill>
          <a:schemeClr val="phClr"/>
        </a:solidFill>
        <a:gradFill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Views>
    <sheetView zoomScale="100" workbookViewId="0">
      <selection activeCell="A1" activeCellId="0" sqref="A1"/>
    </sheetView>
  </sheetViews>
  <sheetFormatPr defaultRowHeight="14.25"/>
  <cols>
    <col bestFit="1" min="1" max="1" width="77.57421875"/>
    <col bestFit="1" min="2" max="2" width="29.28125"/>
    <col bestFit="1" min="3" max="3" style="1" width="10.8515625"/>
    <col bestFit="1" min="4" max="4" style="2" width="16.00390625"/>
    <col bestFit="1" min="5" max="5" width="23.421875"/>
    <col bestFit="1" min="6" max="6" style="1" width="15.57421875"/>
    <col bestFit="1" min="7" max="7" style="2" width="16.00390625"/>
    <col bestFit="1" min="8" max="8" width="20.57421875"/>
    <col bestFit="1" min="9" max="9" width="45.421875"/>
  </cols>
  <sheetData>
    <row r="1" ht="14.25">
      <c r="A1" t="s">
        <v>0</v>
      </c>
      <c r="B1" s="3" t="s">
        <v>1</v>
      </c>
      <c r="C1" s="1" t="s">
        <v>2</v>
      </c>
      <c r="D1" s="2" t="s">
        <v>3</v>
      </c>
      <c r="E1" t="s">
        <v>4</v>
      </c>
      <c r="F1" s="1" t="s">
        <v>5</v>
      </c>
      <c r="G1" s="4" t="s">
        <v>6</v>
      </c>
      <c r="H1" t="s">
        <v>7</v>
      </c>
      <c r="I1" t="s">
        <v>8</v>
      </c>
    </row>
    <row r="2" ht="14.25">
      <c r="A2" t="s">
        <v>9</v>
      </c>
      <c r="B2" t="s">
        <v>10</v>
      </c>
      <c r="C2" s="1">
        <v>0.029999999999999999</v>
      </c>
      <c r="D2" s="2">
        <f>C2*1.33</f>
        <v>0.039899999999999998</v>
      </c>
      <c r="E2">
        <v>10</v>
      </c>
      <c r="F2" s="1">
        <f>C2*E2</f>
        <v>0.29999999999999999</v>
      </c>
      <c r="G2" s="2">
        <f>F2*1.33</f>
        <v>0.39900000000000002</v>
      </c>
      <c r="H2" t="s">
        <v>11</v>
      </c>
      <c r="I2" t="s">
        <v>12</v>
      </c>
    </row>
    <row r="3" ht="14.25">
      <c r="A3" t="s">
        <v>13</v>
      </c>
      <c r="B3" t="s">
        <v>14</v>
      </c>
      <c r="C3" s="1">
        <v>0.23000000000000001</v>
      </c>
      <c r="D3" s="2">
        <f>C3*1.33</f>
        <v>0.30590000000000001</v>
      </c>
      <c r="E3">
        <v>10</v>
      </c>
      <c r="F3" s="1">
        <f>C3*E3</f>
        <v>2.3000000000000003</v>
      </c>
      <c r="G3" s="2">
        <f>F3*1.33</f>
        <v>3.0590000000000006</v>
      </c>
      <c r="H3" t="s">
        <v>15</v>
      </c>
      <c r="I3" t="s">
        <v>16</v>
      </c>
    </row>
    <row r="4" ht="14.25">
      <c r="A4" t="s">
        <v>17</v>
      </c>
      <c r="B4" t="s">
        <v>18</v>
      </c>
      <c r="C4" s="1">
        <v>2.8500000000000001</v>
      </c>
      <c r="D4" s="2">
        <f>C4*1.33</f>
        <v>3.7905000000000002</v>
      </c>
      <c r="E4">
        <v>5</v>
      </c>
      <c r="F4" s="1">
        <f>C4*E4</f>
        <v>14.25</v>
      </c>
      <c r="G4" s="2">
        <f>F4*1.33</f>
        <v>18.952500000000001</v>
      </c>
      <c r="H4" t="s">
        <v>19</v>
      </c>
      <c r="I4" t="s">
        <v>20</v>
      </c>
    </row>
    <row r="5" ht="14.25">
      <c r="A5" t="s">
        <v>21</v>
      </c>
      <c r="B5" t="s">
        <v>22</v>
      </c>
      <c r="C5" s="1">
        <v>0.14000000000000001</v>
      </c>
      <c r="D5" s="2">
        <f>C5*1.33</f>
        <v>0.18620000000000003</v>
      </c>
      <c r="E5">
        <v>5</v>
      </c>
      <c r="F5" s="1">
        <f>C5*E5</f>
        <v>0.70000000000000007</v>
      </c>
      <c r="G5" s="2">
        <f>F5*1.33</f>
        <v>0.93100000000000016</v>
      </c>
      <c r="H5" t="s">
        <v>23</v>
      </c>
      <c r="I5" t="s">
        <v>24</v>
      </c>
    </row>
    <row r="6" ht="14.25">
      <c r="A6" t="s">
        <v>25</v>
      </c>
      <c r="B6" t="s">
        <v>26</v>
      </c>
      <c r="C6" s="1">
        <v>0.54000000000000004</v>
      </c>
      <c r="D6" s="2">
        <f>C6*1.33</f>
        <v>0.71820000000000006</v>
      </c>
      <c r="E6">
        <v>15</v>
      </c>
      <c r="F6" s="1">
        <f>C6*E6</f>
        <v>8.1000000000000014</v>
      </c>
      <c r="G6" s="2">
        <f>F6*1.33</f>
        <v>10.773000000000003</v>
      </c>
      <c r="H6" t="s">
        <v>27</v>
      </c>
      <c r="I6" t="s">
        <v>28</v>
      </c>
    </row>
    <row r="7" ht="14.25">
      <c r="A7" t="s">
        <v>29</v>
      </c>
      <c r="B7" t="s">
        <v>30</v>
      </c>
      <c r="C7" s="1">
        <v>1.1399999999999999</v>
      </c>
      <c r="D7" s="2">
        <f>C7*1.33</f>
        <v>1.5162</v>
      </c>
      <c r="E7">
        <v>1</v>
      </c>
      <c r="F7" s="1">
        <f>C7*E7</f>
        <v>1.1399999999999999</v>
      </c>
      <c r="G7" s="2">
        <f>F7*1.33</f>
        <v>1.5162</v>
      </c>
      <c r="H7" t="s">
        <v>31</v>
      </c>
      <c r="I7" t="s">
        <v>32</v>
      </c>
    </row>
    <row r="8" ht="14.25">
      <c r="A8" t="s">
        <v>33</v>
      </c>
      <c r="B8" t="s">
        <v>34</v>
      </c>
      <c r="C8" s="1">
        <v>0.17000000000000001</v>
      </c>
      <c r="D8" s="2">
        <f>C8*1.33</f>
        <v>0.22610000000000002</v>
      </c>
      <c r="E8">
        <v>10</v>
      </c>
      <c r="F8" s="1">
        <f>C8*E8</f>
        <v>1.7000000000000002</v>
      </c>
      <c r="G8" s="2">
        <f>F8*1.33</f>
        <v>2.2610000000000006</v>
      </c>
      <c r="H8" t="s">
        <v>35</v>
      </c>
      <c r="I8" t="s">
        <v>36</v>
      </c>
    </row>
    <row r="9" ht="14.25">
      <c r="A9" t="s">
        <v>37</v>
      </c>
      <c r="B9" t="s">
        <v>10</v>
      </c>
      <c r="C9" s="1">
        <v>0.68999999999999995</v>
      </c>
      <c r="D9" s="2">
        <f>C9*1.33</f>
        <v>0.91769999999999996</v>
      </c>
      <c r="E9">
        <v>1</v>
      </c>
      <c r="F9" s="1">
        <f>C9*E9</f>
        <v>0.68999999999999995</v>
      </c>
      <c r="G9" s="2">
        <f>F9*1.33</f>
        <v>0.91769999999999996</v>
      </c>
      <c r="H9" t="s">
        <v>38</v>
      </c>
      <c r="I9" t="s">
        <v>39</v>
      </c>
    </row>
    <row r="10" ht="14.25">
      <c r="A10" t="s">
        <v>40</v>
      </c>
      <c r="B10" t="s">
        <v>41</v>
      </c>
      <c r="C10" s="1">
        <v>0.080000000000000002</v>
      </c>
      <c r="D10" s="2">
        <f>C10*1.33</f>
        <v>0.10640000000000001</v>
      </c>
      <c r="E10">
        <v>20</v>
      </c>
      <c r="F10" s="1">
        <f>C10*E10</f>
        <v>1.6000000000000001</v>
      </c>
      <c r="G10" s="2">
        <f>F10*1.33</f>
        <v>2.1280000000000001</v>
      </c>
      <c r="H10" t="s">
        <v>42</v>
      </c>
      <c r="I10" t="s">
        <v>16</v>
      </c>
    </row>
    <row r="11" ht="14.25">
      <c r="A11" t="s">
        <v>43</v>
      </c>
      <c r="B11" t="s">
        <v>44</v>
      </c>
      <c r="C11" s="1">
        <v>0.080000000000000002</v>
      </c>
      <c r="D11" s="2">
        <f>C11*1.33</f>
        <v>0.10640000000000001</v>
      </c>
      <c r="E11">
        <v>10</v>
      </c>
      <c r="F11" s="1">
        <f>C11*E11</f>
        <v>0.80000000000000004</v>
      </c>
      <c r="G11" s="2">
        <f>F11*1.33</f>
        <v>1.0640000000000001</v>
      </c>
      <c r="H11" t="s">
        <v>45</v>
      </c>
      <c r="I11" t="s">
        <v>46</v>
      </c>
    </row>
    <row r="12" ht="14.25">
      <c r="A12" t="s">
        <v>47</v>
      </c>
      <c r="B12" t="s">
        <v>48</v>
      </c>
      <c r="C12" s="1">
        <v>0.44</v>
      </c>
      <c r="D12" s="2">
        <f>C12*1.33</f>
        <v>0.58520000000000005</v>
      </c>
      <c r="E12">
        <v>5</v>
      </c>
      <c r="F12" s="1">
        <f>C12*E12</f>
        <v>2.2000000000000002</v>
      </c>
      <c r="G12" s="2">
        <f>F12*1.33</f>
        <v>2.9260000000000006</v>
      </c>
      <c r="H12" t="s">
        <v>49</v>
      </c>
      <c r="I12" t="s">
        <v>50</v>
      </c>
    </row>
    <row r="13" ht="14.25">
      <c r="A13" t="s">
        <v>51</v>
      </c>
      <c r="B13" t="s">
        <v>52</v>
      </c>
      <c r="C13" s="1">
        <v>0.34000000000000002</v>
      </c>
      <c r="D13" s="2">
        <f>C13*1.33</f>
        <v>0.45220000000000005</v>
      </c>
      <c r="E13">
        <v>5</v>
      </c>
      <c r="F13" s="1">
        <f>C13*E13</f>
        <v>1.7000000000000002</v>
      </c>
      <c r="G13" s="2">
        <f>F13*1.33</f>
        <v>2.2610000000000006</v>
      </c>
      <c r="H13" t="s">
        <v>53</v>
      </c>
      <c r="I13" t="s">
        <v>54</v>
      </c>
    </row>
    <row r="14" ht="14.25">
      <c r="A14" t="s">
        <v>55</v>
      </c>
      <c r="B14" t="s">
        <v>10</v>
      </c>
      <c r="C14" s="1">
        <v>2.1200000000000001</v>
      </c>
      <c r="D14" s="2">
        <f>C14*1.33</f>
        <v>2.8196000000000003</v>
      </c>
      <c r="E14">
        <v>1</v>
      </c>
      <c r="F14" s="1">
        <f>C14*E14</f>
        <v>2.1200000000000001</v>
      </c>
      <c r="G14" s="2">
        <f>F14*1.33</f>
        <v>2.8196000000000003</v>
      </c>
      <c r="H14" t="s">
        <v>56</v>
      </c>
      <c r="I14" t="s">
        <v>57</v>
      </c>
    </row>
    <row r="15" ht="14.25">
      <c r="A15" t="s">
        <v>58</v>
      </c>
      <c r="B15" t="s">
        <v>10</v>
      </c>
      <c r="C15" s="1">
        <v>1.3799999999999999</v>
      </c>
      <c r="D15" s="2">
        <f>C15*1.33</f>
        <v>1.8353999999999999</v>
      </c>
      <c r="E15">
        <v>1</v>
      </c>
      <c r="F15" s="1">
        <f>C15*E15</f>
        <v>1.3799999999999999</v>
      </c>
      <c r="G15" s="2">
        <f>F15*1.33</f>
        <v>1.8353999999999999</v>
      </c>
      <c r="H15" t="s">
        <v>59</v>
      </c>
      <c r="I15" t="s">
        <v>60</v>
      </c>
    </row>
    <row r="16" ht="14.25">
      <c r="A16" t="s">
        <v>61</v>
      </c>
      <c r="B16" t="s">
        <v>62</v>
      </c>
      <c r="C16" s="1">
        <v>0.17000000000000001</v>
      </c>
      <c r="D16" s="2">
        <f>C16*1.33</f>
        <v>0.22610000000000002</v>
      </c>
      <c r="E16">
        <v>5</v>
      </c>
      <c r="F16" s="1">
        <f>C16*E16</f>
        <v>0.85000000000000009</v>
      </c>
      <c r="G16" s="2">
        <f>F16*1.33</f>
        <v>1.1305000000000003</v>
      </c>
      <c r="H16" t="s">
        <v>63</v>
      </c>
      <c r="I16" t="s">
        <v>64</v>
      </c>
    </row>
    <row r="17" ht="14.25">
      <c r="A17" t="s">
        <v>65</v>
      </c>
      <c r="B17" t="s">
        <v>66</v>
      </c>
      <c r="C17" s="1">
        <v>2.5899999999999999</v>
      </c>
      <c r="D17" s="2">
        <f>C17*1.33</f>
        <v>3.4447000000000001</v>
      </c>
      <c r="E17">
        <v>2</v>
      </c>
      <c r="F17" s="1">
        <f>C17*E17</f>
        <v>5.1799999999999997</v>
      </c>
      <c r="G17" s="2">
        <f>F17*1.33</f>
        <v>6.8894000000000002</v>
      </c>
      <c r="H17" t="s">
        <v>67</v>
      </c>
      <c r="I17" t="s">
        <v>68</v>
      </c>
    </row>
    <row r="18" ht="14.25">
      <c r="A18" t="s">
        <v>69</v>
      </c>
      <c r="B18" t="s">
        <v>10</v>
      </c>
      <c r="C18" s="1">
        <v>2.4700000000000002</v>
      </c>
      <c r="D18" s="2">
        <f>C18*1.33</f>
        <v>3.2851000000000004</v>
      </c>
      <c r="E18">
        <v>1</v>
      </c>
      <c r="F18" s="1">
        <f>C18*E18</f>
        <v>2.4700000000000002</v>
      </c>
      <c r="G18" s="2">
        <f>F18*1.33</f>
        <v>3.2851000000000004</v>
      </c>
      <c r="H18" t="s">
        <v>70</v>
      </c>
      <c r="I18" t="s">
        <v>71</v>
      </c>
    </row>
    <row r="19" ht="14.25">
      <c r="A19" s="3" t="s">
        <v>72</v>
      </c>
      <c r="B19" s="3" t="s">
        <v>73</v>
      </c>
      <c r="C19" s="5">
        <v>12.470000000000001</v>
      </c>
      <c r="D19" s="2">
        <f>C19*1.33</f>
        <v>16.585100000000001</v>
      </c>
      <c r="E19" s="3">
        <v>1</v>
      </c>
      <c r="F19" s="1">
        <f>C19*E19</f>
        <v>12.470000000000001</v>
      </c>
      <c r="G19" s="2">
        <f>F19*1.33</f>
        <v>16.585100000000001</v>
      </c>
      <c r="H19" s="3" t="s">
        <v>74</v>
      </c>
      <c r="I19" s="3" t="s">
        <v>75</v>
      </c>
    </row>
    <row r="20" ht="14.25">
      <c r="A20" s="6" t="s">
        <v>76</v>
      </c>
      <c r="B20" s="3" t="s">
        <v>77</v>
      </c>
      <c r="C20" s="5">
        <v>4.9900000000000002</v>
      </c>
      <c r="D20" s="2">
        <f>C20*1.33</f>
        <v>6.6367000000000003</v>
      </c>
      <c r="E20" s="3">
        <v>1</v>
      </c>
      <c r="F20" s="1">
        <f>C20*E20</f>
        <v>4.9900000000000002</v>
      </c>
      <c r="G20" s="2">
        <f>F20*1.33</f>
        <v>6.6367000000000003</v>
      </c>
      <c r="H20" s="3" t="s">
        <v>74</v>
      </c>
      <c r="I20" s="3" t="s">
        <v>78</v>
      </c>
    </row>
    <row r="21" ht="14.25">
      <c r="E21" t="s">
        <v>5</v>
      </c>
      <c r="F21" s="1">
        <f>SUM(F2:F20)</f>
        <v>64.940000000000012</v>
      </c>
    </row>
    <row r="22" ht="14.25">
      <c r="D22" s="2"/>
      <c r="E22" s="7" t="s">
        <v>79</v>
      </c>
      <c r="F22" s="1">
        <f>F21*0.2</f>
        <v>12.988000000000003</v>
      </c>
    </row>
    <row r="23" ht="14.25">
      <c r="E23" t="s">
        <v>80</v>
      </c>
      <c r="F23" s="1">
        <f>F21+F22</f>
        <v>77.928000000000011</v>
      </c>
    </row>
    <row r="24" ht="14.25">
      <c r="E24" t="s">
        <v>81</v>
      </c>
      <c r="F24" s="1">
        <f>F23*1.33</f>
        <v>103.64424000000002</v>
      </c>
    </row>
  </sheetData>
  <printOptions headings="0" gridLines="0"/>
  <pageMargins left="0.70078740157480324" right="0.70078740157480324" top="0.75196850393700787" bottom="0.75196850393700787" header="0.29999999999999999" footer="0.29999999999999999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ONLYOFFICE/9.4.0.129</Application>
  <DocSecurity>0</DocSecurity>
  <ScaleCrop>0</ScaleCrop>
  <HeadingPairs>
    <vt:vector size="0" baseType="variant"/>
  </HeadingPairs>
  <TitlesOfParts>
    <vt:vector size="0" baseType="lpstr"/>
  </TitlesOfParts>
  <Company/>
  <LinksUpToDate>0</LinksUpToDate>
  <SharedDoc>0</SharedDoc>
  <HyperlinksChanged>0</HyperlinksChanged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revision>1</cp:revision>
  <dcterms:modified xsi:type="dcterms:W3CDTF">2026-07-06T15:01:21Z</dcterms:modified>
</cp:coreProperties>
</file>